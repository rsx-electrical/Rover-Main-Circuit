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weso\Documents\GitHub\Rover-Main-Circuit\CIRC\"/>
    </mc:Choice>
  </mc:AlternateContent>
  <xr:revisionPtr revIDLastSave="0" documentId="13_ncr:1_{55EAA9D3-E824-49E2-9E59-4B2ACFD28C19}" xr6:coauthVersionLast="47" xr6:coauthVersionMax="47" xr10:uidLastSave="{00000000-0000-0000-0000-000000000000}"/>
  <bookViews>
    <workbookView xWindow="5760" yWindow="648" windowWidth="17280" windowHeight="112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H28" i="1"/>
  <c r="H27" i="1"/>
  <c r="H26" i="1"/>
  <c r="H25" i="1"/>
  <c r="E20" i="1"/>
  <c r="E19" i="1"/>
  <c r="E14" i="1"/>
  <c r="H14" i="1"/>
  <c r="H13" i="1"/>
  <c r="E13" i="1" s="1"/>
  <c r="H12" i="1"/>
  <c r="E12" i="1" s="1"/>
  <c r="E10" i="1"/>
  <c r="H9" i="1"/>
  <c r="E9" i="1" s="1"/>
  <c r="H8" i="1"/>
  <c r="E8" i="1" s="1"/>
  <c r="H7" i="1"/>
  <c r="E7" i="1" s="1"/>
  <c r="H4" i="1"/>
  <c r="H3" i="1"/>
  <c r="E3" i="1" s="1"/>
  <c r="E2" i="1"/>
</calcChain>
</file>

<file path=xl/sharedStrings.xml><?xml version="1.0" encoding="utf-8"?>
<sst xmlns="http://schemas.openxmlformats.org/spreadsheetml/2006/main" count="82" uniqueCount="80">
  <si>
    <t>Item</t>
  </si>
  <si>
    <t>Quantity</t>
  </si>
  <si>
    <t>Price in CAD</t>
  </si>
  <si>
    <t>sum</t>
  </si>
  <si>
    <t>Link</t>
  </si>
  <si>
    <t>NOTE</t>
  </si>
  <si>
    <t>Contactor</t>
  </si>
  <si>
    <t>lev200a5naa</t>
  </si>
  <si>
    <t>without discount</t>
  </si>
  <si>
    <t>BMS</t>
  </si>
  <si>
    <t>Batteries</t>
  </si>
  <si>
    <t>Boost big</t>
  </si>
  <si>
    <t>https://www.amazon.ca/Voltage-Converter-Supply-Module-10-60V/dp/B07N6BJWXH/ref=pd_subss_hxwPER_sspa_dk_detail_d_sccl_4_5/135-6660766-8758841?pd_rd_r=50181b0b-b0e6-4f8a-9c25-640b718f967e&amp;pd_rd_wg=pd5tx&amp;pd_rd_w=hyTyo&amp;pd_rd_i=B07N6BJWXH&amp;psc=1</t>
  </si>
  <si>
    <t>buck small</t>
  </si>
  <si>
    <t>https://www.amazon.ca/XLX-High-Power-Converter-Adjustable-Protection/dp/B081X5YX8V/ref=sr_1_9?crid=5Q9857PGIUP2&amp;dib=eyJ2IjoiMSJ9.bcst-xXQU27Vt8yy-pUyyTeiXO0FfLS2WuoSWdtlc62_Mf4DYJrzHZVolQyqMIxwbeNSzOSrNS_gypIBfo5iVyWGZVP2fjMORbgTTl_Y0plsxTa_kgJHLMuKuay3bpNTmuJpFxdQkQ7v33IDFmIhXgqBD-Tt7zmBNubrHJuFNQbJeqQLpfi2GVKyYNzVYOb6Y7l30Gu7odFZUfD1HMsc81LcbH9AmX53b_ZjMcLEnOHzFJlMmrEfpi_CGQ3J1uXAsHpbSofdtvz0CrWsYIc8hJjLXUNGIttn8UTalPNSl4w.39A3Z7VqLHN42UQDUXyswLbTG1sQDOQBkAQ78soJo80&amp;dib_tag=se&amp;keywords=buck+converter&amp;qid=1747598621&amp;s=electronics&amp;sprefix=buck+%2Celectronics%2C97&amp;sr=1-9</t>
  </si>
  <si>
    <t>buck smallest</t>
  </si>
  <si>
    <t>https://www.amazon.ca/Converter-1-25-36V-Voltage-Regulator-Display/dp/B085T73CSD/ref=sr_1_3_sspa?crid=1XZJ9M99E8ES8&amp;dib=eyJ2IjoiMSJ9.bcst-xXQU27Vt8yy-pUyyVitLstc_2PgEIYxT6GEOmB-ZWMEWajDHIB05OrgYCH9W4xbPUxNTZCybqQX0vtu2-azbY2v8DOY9g5x_Uwtkhi3FlLW4rqE2LfTfaEcBiewFxwqchl2ZbF80vdEKKkxYEheiTOSb4nKd9_EZbm1XYx7-dcrvn6CVkeDH7HHtb8RbI2yGfyMv6_TPiiy50tLd-Q1wIhZKDWCptO40KPOYGFoAqFYk8uAZIDZOJOl9HeLslnt5ouNxeq2JOJkhQpLD77aMmwIEfPMX5SlzMoy_Oo.7YeTr3PNyFpuhG1rm6iP0cG2gAXrTFV9uy2E5ZjQqko&amp;dib_tag=se&amp;keywords=buck+converter&amp;qid=1747789096&amp;sprefix=buck+converter%2Caps%2C183&amp;sr=8-3-spons&amp;sp_csd=d2lkZ2V0TmFtZT1zcF9hdGY&amp;psc=1</t>
  </si>
  <si>
    <t>pack of 2 for 19.99, sum includes tax</t>
  </si>
  <si>
    <t>fuse + holder</t>
  </si>
  <si>
    <t>https://www.aliexpress.com/item/1005001282853678.html?spm=a2g0o.productlist.seoads.1.5c3656dbrq4YBD&amp;p4p_pvid=202505141814191576048185183800001967841_2</t>
  </si>
  <si>
    <t>DTP06-2S motors</t>
  </si>
  <si>
    <t>Reciepts\DTP12AWG.pdf</t>
  </si>
  <si>
    <t>USE THE ALIEXPRESS PRICE!, shipping and tax included</t>
  </si>
  <si>
    <t>DTP04-2P canbus</t>
  </si>
  <si>
    <t>https://www.aliexpress.com/i/10000262124594.html</t>
  </si>
  <si>
    <t>Shipping and tax included, pack of 5</t>
  </si>
  <si>
    <t>https://www.aliexpress.com/item/1005006749008790.html?src=google&amp;pdp_npi=4%40dis!CAD!1.45!1.45!!!!!%40!12000040418686307!ppc!!!&amp;src=google&amp;albch=shopping&amp;acnt=631-313-3945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en1005006749008790&amp;ds_e_product_merchant_id=109148716&amp;ds_e_product_country=CA&amp;ds_e_product_language=en&amp;ds_e_product_channel=online&amp;ds_e_product_store_id=&amp;ds_url_v=2&amp;albcp=19366866438&amp;albag=&amp;isSmbAutoCall=false&amp;needSmbHouyi=false&amp;gad_source=1&amp;gad_campaignid=17337458112&amp;gclid=CjwKCAjw_pDBBhBMEiwAmY02NnOKxclmaFj_cNnxzBS3k4RJ-nBmbz0hElOZiay4pijbrv5nQxHcSxoCS6wQAvD_BwE</t>
  </si>
  <si>
    <t>LED's</t>
  </si>
  <si>
    <t>/</t>
  </si>
  <si>
    <t>https://a.co/d/3oTKJwg</t>
  </si>
  <si>
    <t>free shipping</t>
  </si>
  <si>
    <t>PCB Components</t>
  </si>
  <si>
    <t>estimate</t>
  </si>
  <si>
    <t>Science board</t>
  </si>
  <si>
    <t>with shipping + tax</t>
  </si>
  <si>
    <t>POE board</t>
  </si>
  <si>
    <t>with tax</t>
  </si>
  <si>
    <t>Science bucks</t>
  </si>
  <si>
    <t>pack of 10</t>
  </si>
  <si>
    <t>https://drive.google.com/file/d/1q2Ub8Ed1pq1ppmAQ_TIfJ0-hIMvJc64Q/view</t>
  </si>
  <si>
    <t>CTR PDP</t>
  </si>
  <si>
    <t>https://www.andymark.com/products/power-distribution-panel</t>
  </si>
  <si>
    <t>idk what currency</t>
  </si>
  <si>
    <t>Jst connectors</t>
  </si>
  <si>
    <t>xt 90s</t>
  </si>
  <si>
    <t>5pin wago + holder</t>
  </si>
  <si>
    <t>4 lugs</t>
  </si>
  <si>
    <t>LED board components</t>
  </si>
  <si>
    <t>https://drive.google.com/file/d/11V8bCvjL64W9fvAMIBNcjGqT2DRG3Z5J/view</t>
  </si>
  <si>
    <t>POE board compontents</t>
  </si>
  <si>
    <t>"C:\Users\aweso\OneDrive\Documents\Skule_2024-25F\RSX\Reciepts\2025-04-DigikeyCartPOE.xlsx"</t>
  </si>
  <si>
    <t>Science board components</t>
  </si>
  <si>
    <t>"C:\Users\aweso\OneDrive\Documents\Skule_2024-25F\RSX\Reciepts\2025-05-DigikeyCartScience.xlsx"</t>
  </si>
  <si>
    <t>uno</t>
  </si>
  <si>
    <t>https://drive.google.com/drive/u/1/folders/18Pb2SsZCmHzl24uyNZxATgb_Gkchqjx5</t>
  </si>
  <si>
    <t>battery copper bar</t>
  </si>
  <si>
    <t>19.49 / 3 ft</t>
  </si>
  <si>
    <t>https://drive.google.com/file/d/1CXJZ5TAFYdJMwtVWSBaqJFHC551FoW9t/view</t>
  </si>
  <si>
    <t>nickle strip</t>
  </si>
  <si>
    <t>CAN bus usb</t>
  </si>
  <si>
    <t>19.99*1.13</t>
  </si>
  <si>
    <t>https://www.amazon.ca/DSD-TECH-Adapter-Hardware-Canable/dp/B0BQ5G3KLR/ref=sr_1_5?crid=13MT57LW8HOEF&amp;dib=eyJ2IjoiMSJ9.wonZmTd3OECFaUGF6ceeWaBjnWdI2CeR6es7_5-7PiDPSymHKQ-wB_0qugAh41UuXGfhszETzq41nTyxSl8OQDWz-48eJrEl98hdibG8wTE8tXSwvHtfbuBl6bYWa1Vxbi0amZJf56kePIStWluZuQdAk4rJA5Ay3HePk0Q_3itvISwKz4NhTIZK2aWrauybwvVDLsph6hmba2QNKcuDNVcTED1KoXF71-dIZPrg4-kb5pUzaiHV-cx7oWQ2u3_RidIXbpzUnhcfa5VJZCzJe4Q-gCGoS99vlj7bJkVAg7w.E-zNQP-Wvj9y08TPrcpvn_4strJNfOFVO9cvHvfx9Kg&amp;dib_tag=se&amp;keywords=canbus+to+usb&amp;qid=1747890681&amp;sprefix=canbus+to+usb%2Caps%2C172&amp;sr=8-5</t>
  </si>
  <si>
    <t>sp04s034</t>
  </si>
  <si>
    <t xml:space="preserve">SP04S034 V1.3 4S 120A UART  </t>
  </si>
  <si>
    <t>Graphene 10000mAh 4s 15C discharge 148Wh</t>
  </si>
  <si>
    <t>https://hobbyking.com/en_us/turnigy-graphene-professional-10000mah-4s-15c-lipo-pack-w-xt90.html?srsltid=AfmBOoqTuwjTAhoIsgXLhlx1DHYk3pfnVaWjQCr-ltSDQcxRc4jD-SQQ</t>
  </si>
  <si>
    <t>Current (A)</t>
  </si>
  <si>
    <t>500 carry</t>
  </si>
  <si>
    <t>https://files.seeedstudio.com/wiki/reComputer-Jetson/J501/reServer_Industrial_J501_Carrier_Board_Datasheet.pdf</t>
  </si>
  <si>
    <t xml:space="preserve">Jetson Carrier Board -J501/reServer_Industrial_J501_Carrier_Board </t>
  </si>
  <si>
    <t>DC 12V-36V</t>
  </si>
  <si>
    <t>Voltage (V)</t>
  </si>
  <si>
    <t>https://store.ctr-electronics.com/products/falcon-500-powered-by-talon-fx?srsltid=AfmBOooCNyXvLXCOtDiu5ACBVqQn_FMJvMoC7OiW2hj8Q1Dz9KUrqA__</t>
  </si>
  <si>
    <t>Falcon500 DCMotors</t>
  </si>
  <si>
    <t xml:space="preserve">15-60W, 12-36V, J501/reServer_Industrial_J501_Carrier_Board </t>
  </si>
  <si>
    <t>LA38-11ZS estop button</t>
  </si>
  <si>
    <t>https://yizhantongimage.oss-accelerate.aliyuncs.com/UploadFiles/20241219102120212069.pdf</t>
  </si>
  <si>
    <t>175A fuse 157.5701.6171</t>
  </si>
  <si>
    <t>DPN:F7070-ND</t>
  </si>
  <si>
    <t>https://www.littelfuse.com/assetdocs/fuse-strips-with-housing-48v-series-datasheet?assetguid=D8B81A50-E8FA-4656-B1CF-E8D12A890538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</si>
</sst>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2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08F64-8C9E-48F0-9902-6BFE28F28C66}" name="Table1" displayName="Table1" ref="A1:H31" totalsRowShown="0">
  <autoFilter ref="A1:H31" xr:uid="{36A08F64-8C9E-48F0-9902-6BFE28F28C66}"/>
  <tableColumns count="8">
    <tableColumn id="1" xr3:uid="{DA2990F2-E04A-4425-BC5F-86C42DF9A716}" name="Item"/>
    <tableColumn id="2" xr3:uid="{0E336521-918B-4D64-BBAF-0299DC1DC4E0}" name="Quantity"/>
    <tableColumn id="8" xr3:uid="{747208B4-AD24-4A9B-9AC5-A33C1D3A5489}" name="Voltage (V)"/>
    <tableColumn id="3" xr3:uid="{4E160048-B2D9-4C3E-8DA7-B74C80BE1E4B}" name="Current (A)"/>
    <tableColumn id="4" xr3:uid="{4830BB1D-1051-4F34-961A-8212FA849FB6}" name="sum"/>
    <tableColumn id="5" xr3:uid="{C195B044-FC3E-4188-B9D8-00D7392BA193}" name="Link"/>
    <tableColumn id="6" xr3:uid="{100F3726-47FC-4FB4-85DF-4023D75A5E01}" name="NOTE"/>
    <tableColumn id="7" xr3:uid="{8FAF486D-849A-4419-A67E-BC47E9E36F59}" name="Price in C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1282853678.html?spm=a2g0o.productlist.seoads.1.5c3656dbrq4YBD&amp;p4p_pvid=202505141814191576048185183800001967841_2" TargetMode="External"/><Relationship Id="rId3" Type="http://schemas.openxmlformats.org/officeDocument/2006/relationships/hyperlink" Target="https://jiabaida-bms.com/products/jbd-smart-bms-3s-4s-100a-120a-150a-200a-lithium-lion-battery-pcb-with-uart-heating-function-series-connection?variant=43566745223330" TargetMode="External"/><Relationship Id="rId7" Type="http://schemas.openxmlformats.org/officeDocument/2006/relationships/hyperlink" Target="https://hobbyking.com/en_us/turnigy-graphene-professional-10000mah-4s-15c-lipo-pack-w-xt90.html?srsltid=AfmBOoqTuwjTAhoIsgXLhlx1DHYk3pfnVaWjQCr-ltSDQcxRc4jD-SQQ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.co/d/3oTKJwg" TargetMode="External"/><Relationship Id="rId1" Type="http://schemas.openxmlformats.org/officeDocument/2006/relationships/hyperlink" Target="https://www.te.com/commerce/DocumentDelivery/DDEController?Action=showdoc&amp;DocId=Catalog+Section%7F5-1773450-5_sec7_LEV200%7F0313%7Fpdf%7FEnglish%7FENG_CS_5-1773450-5_sec7_LEV200_0313_5-1773450-5_Sec7_LEV200.pdf%7F4-1618388-6" TargetMode="External"/><Relationship Id="rId6" Type="http://schemas.openxmlformats.org/officeDocument/2006/relationships/hyperlink" Target="https://drive.google.com/file/d/1q2Ub8Ed1pq1ppmAQ_TIfJ0-hIMvJc64Q/view" TargetMode="External"/><Relationship Id="rId11" Type="http://schemas.openxmlformats.org/officeDocument/2006/relationships/hyperlink" Target="Reciepts/2025-05-DigikeyCartScience.xlsx" TargetMode="External"/><Relationship Id="rId5" Type="http://schemas.openxmlformats.org/officeDocument/2006/relationships/hyperlink" Target="Reciepts\DTP12AWG.pdf" TargetMode="External"/><Relationship Id="rId10" Type="http://schemas.openxmlformats.org/officeDocument/2006/relationships/hyperlink" Target="Reciepts/2025-04-DigikeyCartPOE.xlsx" TargetMode="External"/><Relationship Id="rId4" Type="http://schemas.openxmlformats.org/officeDocument/2006/relationships/hyperlink" Target="https://www.amazon.ca/Voltage-Converter-Supply-Module-10-60V/dp/B07N6BJWXH/ref=pd_subss_hxwPER_sspa_dk_detail_d_sccl_4_5/135-6660766-8758841?pd_rd_r=50181b0b-b0e6-4f8a-9c25-640b718f967e&amp;pd_rd_wg=pd5tx&amp;pd_rd_w=hyTyo&amp;pd_rd_i=B07N6BJWXH&amp;psc=1" TargetMode="External"/><Relationship Id="rId9" Type="http://schemas.openxmlformats.org/officeDocument/2006/relationships/hyperlink" Target="https://www.amazon.ca/XLX-High-Power-Converter-Adjustable-Protection/dp/B081X5YX8V/ref=sr_1_9?crid=5Q9857PGIUP2&amp;dib=eyJ2IjoiMSJ9.bcst-xXQU27Vt8yy-pUyyTeiXO0FfLS2WuoSWdtlc62_Mf4DYJrzHZVolQyqMIxwbeNSzOSrNS_gypIBfo5iVyWGZVP2fjMORbgTTl_Y0plsxTa_kgJHLMuKuay3bpNTmuJpFxdQkQ7v33IDFmIhXgqBD-Tt7zmBNubrHJuFNQbJeqQLpfi2GVKyYNzVYOb6Y7l30Gu7odFZUfD1HMsc81LcbH9AmX53b_ZjMcLEnOHzFJlMmrEfpi_CGQ3J1uXAsHpbSofdtvz0CrWsYIc8hJjLXUNGIttn8UTalPNSl4w.39A3Z7VqLHN42UQDUXyswLbTG1sQDOQBkAQ78soJo80&amp;dib_tag=se&amp;keywords=buck+converter&amp;qid=1747598621&amp;s=electronics&amp;sprefix=buck+%2Celectronics%2C97&amp;sr=1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G6" sqref="G6"/>
    </sheetView>
  </sheetViews>
  <sheetFormatPr defaultRowHeight="14.4" x14ac:dyDescent="0.3"/>
  <cols>
    <col min="1" max="1" width="16.33203125" customWidth="1"/>
    <col min="2" max="3" width="9.88671875" customWidth="1"/>
    <col min="4" max="4" width="10.109375" customWidth="1"/>
    <col min="7" max="7" width="36.6640625" customWidth="1"/>
    <col min="8" max="8" width="12.6640625" customWidth="1"/>
  </cols>
  <sheetData>
    <row r="1" spans="1:8" x14ac:dyDescent="0.3">
      <c r="A1" t="s">
        <v>0</v>
      </c>
      <c r="B1" t="s">
        <v>1</v>
      </c>
      <c r="C1" t="s">
        <v>71</v>
      </c>
      <c r="D1" t="s">
        <v>66</v>
      </c>
      <c r="E1" t="s">
        <v>3</v>
      </c>
      <c r="F1" t="s">
        <v>4</v>
      </c>
      <c r="G1" t="s">
        <v>5</v>
      </c>
      <c r="H1" t="s">
        <v>2</v>
      </c>
    </row>
    <row r="2" spans="1:8" x14ac:dyDescent="0.3">
      <c r="A2" s="1" t="s">
        <v>6</v>
      </c>
      <c r="B2" s="1">
        <v>1</v>
      </c>
      <c r="C2" s="1"/>
      <c r="D2" s="1" t="s">
        <v>67</v>
      </c>
      <c r="E2" s="1">
        <f>B2*H2</f>
        <v>211.01</v>
      </c>
      <c r="F2" s="1" t="s">
        <v>7</v>
      </c>
      <c r="G2" s="1" t="s">
        <v>8</v>
      </c>
      <c r="H2" s="1">
        <v>211.01</v>
      </c>
    </row>
    <row r="3" spans="1:8" x14ac:dyDescent="0.3">
      <c r="A3" s="1" t="s">
        <v>9</v>
      </c>
      <c r="B3" s="1">
        <v>2</v>
      </c>
      <c r="C3" s="1"/>
      <c r="D3" s="1">
        <v>120</v>
      </c>
      <c r="E3" s="1">
        <f>B3*H3</f>
        <v>254.96799999999999</v>
      </c>
      <c r="F3" s="1" t="s">
        <v>62</v>
      </c>
      <c r="G3" s="1" t="s">
        <v>63</v>
      </c>
      <c r="H3" s="1">
        <f>91.06*1.4</f>
        <v>127.48399999999999</v>
      </c>
    </row>
    <row r="4" spans="1:8" x14ac:dyDescent="0.3">
      <c r="A4" s="1" t="s">
        <v>10</v>
      </c>
      <c r="B4" s="1">
        <v>2</v>
      </c>
      <c r="C4" s="1"/>
      <c r="D4" s="1">
        <v>150</v>
      </c>
      <c r="E4" s="1">
        <v>135.43</v>
      </c>
      <c r="F4" s="1" t="s">
        <v>65</v>
      </c>
      <c r="G4" s="1" t="s">
        <v>64</v>
      </c>
      <c r="H4" s="1">
        <f>250*1.4 + 71.15</f>
        <v>421.15</v>
      </c>
    </row>
    <row r="5" spans="1:8" x14ac:dyDescent="0.3">
      <c r="A5" s="1" t="s">
        <v>69</v>
      </c>
      <c r="B5" s="1"/>
      <c r="C5" s="1" t="s">
        <v>70</v>
      </c>
      <c r="D5" s="1">
        <f>60/24</f>
        <v>2.5</v>
      </c>
      <c r="E5" s="1"/>
      <c r="F5" s="1" t="s">
        <v>68</v>
      </c>
      <c r="G5" s="1" t="s">
        <v>74</v>
      </c>
      <c r="H5" s="1"/>
    </row>
    <row r="6" spans="1:8" x14ac:dyDescent="0.3">
      <c r="A6" s="1" t="s">
        <v>77</v>
      </c>
      <c r="B6" s="1">
        <v>1</v>
      </c>
      <c r="C6" s="1">
        <v>48</v>
      </c>
      <c r="D6" s="1">
        <v>175</v>
      </c>
      <c r="E6" s="1"/>
      <c r="F6" s="1" t="s">
        <v>79</v>
      </c>
      <c r="G6" s="1" t="s">
        <v>78</v>
      </c>
      <c r="H6" s="1">
        <v>11</v>
      </c>
    </row>
    <row r="7" spans="1:8" x14ac:dyDescent="0.3">
      <c r="A7" s="1" t="s">
        <v>73</v>
      </c>
      <c r="B7" s="1">
        <v>4</v>
      </c>
      <c r="C7" s="1"/>
      <c r="D7" s="1"/>
      <c r="E7" s="1">
        <f>B7*H7</f>
        <v>117.47479999999999</v>
      </c>
      <c r="F7" s="1" t="s">
        <v>72</v>
      </c>
      <c r="G7" s="1"/>
      <c r="H7" s="1">
        <f>25.99*1.13</f>
        <v>29.368699999999997</v>
      </c>
    </row>
    <row r="8" spans="1:8" x14ac:dyDescent="0.3">
      <c r="A8" t="s">
        <v>11</v>
      </c>
      <c r="B8">
        <v>1</v>
      </c>
      <c r="E8">
        <f>B8*H8</f>
        <v>30.1371</v>
      </c>
      <c r="F8" s="2" t="s">
        <v>12</v>
      </c>
      <c r="H8">
        <f>26.67*1.13</f>
        <v>30.1371</v>
      </c>
    </row>
    <row r="9" spans="1:8" x14ac:dyDescent="0.3">
      <c r="A9" t="s">
        <v>13</v>
      </c>
      <c r="B9">
        <v>1</v>
      </c>
      <c r="E9">
        <f>H9</f>
        <v>19.198699999999995</v>
      </c>
      <c r="F9" t="s">
        <v>14</v>
      </c>
      <c r="H9">
        <f>16.99*1.13</f>
        <v>19.198699999999995</v>
      </c>
    </row>
    <row r="10" spans="1:8" x14ac:dyDescent="0.3">
      <c r="A10" t="s">
        <v>15</v>
      </c>
      <c r="E10">
        <f>19.99/2*1.13</f>
        <v>11.294349999999998</v>
      </c>
      <c r="F10" t="s">
        <v>16</v>
      </c>
      <c r="G10" t="s">
        <v>17</v>
      </c>
    </row>
    <row r="11" spans="1:8" x14ac:dyDescent="0.3">
      <c r="A11" t="s">
        <v>18</v>
      </c>
      <c r="B11">
        <v>1</v>
      </c>
      <c r="E11">
        <v>5.66</v>
      </c>
      <c r="F11" t="s">
        <v>19</v>
      </c>
      <c r="H11">
        <v>5.66</v>
      </c>
    </row>
    <row r="12" spans="1:8" x14ac:dyDescent="0.3">
      <c r="A12" t="s">
        <v>20</v>
      </c>
      <c r="B12">
        <v>5</v>
      </c>
      <c r="E12">
        <f>B12*H12</f>
        <v>18.136499999999998</v>
      </c>
      <c r="F12" t="s">
        <v>21</v>
      </c>
      <c r="G12" t="s">
        <v>22</v>
      </c>
      <c r="H12">
        <f>3.21*1.13</f>
        <v>3.6272999999999995</v>
      </c>
    </row>
    <row r="13" spans="1:8" x14ac:dyDescent="0.3">
      <c r="A13" t="s">
        <v>23</v>
      </c>
      <c r="B13">
        <v>1</v>
      </c>
      <c r="E13">
        <f>B13*H13+9.86</f>
        <v>18.820899999999998</v>
      </c>
      <c r="F13" t="s">
        <v>24</v>
      </c>
      <c r="G13" t="s">
        <v>25</v>
      </c>
      <c r="H13">
        <f>(7.93)*1.13</f>
        <v>8.9608999999999988</v>
      </c>
    </row>
    <row r="14" spans="1:8" x14ac:dyDescent="0.3">
      <c r="A14" s="1" t="s">
        <v>75</v>
      </c>
      <c r="B14" s="1">
        <v>1</v>
      </c>
      <c r="C14" s="1">
        <v>110</v>
      </c>
      <c r="D14" s="1">
        <v>0.5</v>
      </c>
      <c r="E14" s="1">
        <f>1.34+9.2</f>
        <v>10.54</v>
      </c>
      <c r="F14" s="1" t="s">
        <v>26</v>
      </c>
      <c r="G14" s="1" t="s">
        <v>76</v>
      </c>
      <c r="H14" s="1">
        <f>1.34+9.2</f>
        <v>10.54</v>
      </c>
    </row>
    <row r="15" spans="1:8" x14ac:dyDescent="0.3">
      <c r="A15" t="s">
        <v>27</v>
      </c>
      <c r="B15">
        <v>4</v>
      </c>
      <c r="E15">
        <v>14.68</v>
      </c>
      <c r="F15" t="s">
        <v>29</v>
      </c>
      <c r="G15" t="s">
        <v>30</v>
      </c>
      <c r="H15" t="s">
        <v>28</v>
      </c>
    </row>
    <row r="16" spans="1:8" x14ac:dyDescent="0.3">
      <c r="A16" t="s">
        <v>31</v>
      </c>
      <c r="E16">
        <v>20</v>
      </c>
      <c r="G16" t="s">
        <v>32</v>
      </c>
      <c r="H16">
        <v>20</v>
      </c>
    </row>
    <row r="17" spans="1:8" x14ac:dyDescent="0.3">
      <c r="A17" t="s">
        <v>33</v>
      </c>
      <c r="B17">
        <v>1</v>
      </c>
      <c r="E17">
        <v>27.8</v>
      </c>
      <c r="G17" t="s">
        <v>34</v>
      </c>
      <c r="H17">
        <v>27.8</v>
      </c>
    </row>
    <row r="18" spans="1:8" x14ac:dyDescent="0.3">
      <c r="A18" t="s">
        <v>35</v>
      </c>
      <c r="B18">
        <v>1</v>
      </c>
      <c r="E18">
        <v>4.5199999999999996</v>
      </c>
      <c r="G18" t="s">
        <v>36</v>
      </c>
      <c r="H18">
        <v>4.5199999999999996</v>
      </c>
    </row>
    <row r="19" spans="1:8" x14ac:dyDescent="0.3">
      <c r="A19" t="s">
        <v>37</v>
      </c>
      <c r="B19" t="s">
        <v>38</v>
      </c>
      <c r="E19">
        <f>14.81*8/10</f>
        <v>11.848000000000001</v>
      </c>
      <c r="F19" t="s">
        <v>39</v>
      </c>
      <c r="G19" t="s">
        <v>34</v>
      </c>
      <c r="H19">
        <v>14.81</v>
      </c>
    </row>
    <row r="20" spans="1:8" x14ac:dyDescent="0.3">
      <c r="A20" t="s">
        <v>40</v>
      </c>
      <c r="E20">
        <f>219*1.13</f>
        <v>247.46999999999997</v>
      </c>
      <c r="F20" t="s">
        <v>41</v>
      </c>
      <c r="G20" t="s">
        <v>42</v>
      </c>
      <c r="H20">
        <v>219</v>
      </c>
    </row>
    <row r="21" spans="1:8" x14ac:dyDescent="0.3">
      <c r="A21" t="s">
        <v>43</v>
      </c>
    </row>
    <row r="22" spans="1:8" x14ac:dyDescent="0.3">
      <c r="A22" t="s">
        <v>44</v>
      </c>
    </row>
    <row r="23" spans="1:8" x14ac:dyDescent="0.3">
      <c r="A23" t="s">
        <v>45</v>
      </c>
    </row>
    <row r="24" spans="1:8" x14ac:dyDescent="0.3">
      <c r="A24" t="s">
        <v>46</v>
      </c>
    </row>
    <row r="25" spans="1:8" x14ac:dyDescent="0.3">
      <c r="A25" t="s">
        <v>47</v>
      </c>
      <c r="F25" t="s">
        <v>48</v>
      </c>
      <c r="H25">
        <f>6.38*1.13</f>
        <v>7.2093999999999996</v>
      </c>
    </row>
    <row r="26" spans="1:8" x14ac:dyDescent="0.3">
      <c r="A26" t="s">
        <v>49</v>
      </c>
      <c r="F26" t="s">
        <v>50</v>
      </c>
      <c r="H26">
        <f>16.95*1.13</f>
        <v>19.153499999999998</v>
      </c>
    </row>
    <row r="27" spans="1:8" x14ac:dyDescent="0.3">
      <c r="A27" t="s">
        <v>51</v>
      </c>
      <c r="F27" t="s">
        <v>52</v>
      </c>
      <c r="H27">
        <f>49.1*1.13</f>
        <v>55.482999999999997</v>
      </c>
    </row>
    <row r="28" spans="1:8" x14ac:dyDescent="0.3">
      <c r="A28" t="s">
        <v>53</v>
      </c>
      <c r="F28" t="s">
        <v>54</v>
      </c>
      <c r="H28">
        <f>27.9*1.13/3</f>
        <v>10.508999999999999</v>
      </c>
    </row>
    <row r="29" spans="1:8" x14ac:dyDescent="0.3">
      <c r="A29" t="s">
        <v>55</v>
      </c>
      <c r="F29" t="s">
        <v>57</v>
      </c>
      <c r="H29" t="s">
        <v>56</v>
      </c>
    </row>
    <row r="30" spans="1:8" x14ac:dyDescent="0.3">
      <c r="A30" t="s">
        <v>58</v>
      </c>
      <c r="F30" t="s">
        <v>54</v>
      </c>
      <c r="H30">
        <v>13.99</v>
      </c>
    </row>
    <row r="31" spans="1:8" x14ac:dyDescent="0.3">
      <c r="A31" t="s">
        <v>59</v>
      </c>
      <c r="F31" t="s">
        <v>61</v>
      </c>
      <c r="H31" t="s">
        <v>60</v>
      </c>
    </row>
  </sheetData>
  <hyperlinks>
    <hyperlink ref="F2" r:id="rId1" xr:uid="{05404C0D-11DE-4111-BEBC-3C1530C89C48}"/>
    <hyperlink ref="F15" r:id="rId2" xr:uid="{476372C0-2365-4EA9-B97D-F524072A2F27}"/>
    <hyperlink ref="F3" r:id="rId3" display="sp04s034s" xr:uid="{00308CB6-D207-4147-9012-AA19F2737041}"/>
    <hyperlink ref="F8" r:id="rId4" xr:uid="{033A9745-AB6C-4580-8ED1-D375A7C77515}"/>
    <hyperlink ref="F12" r:id="rId5" xr:uid="{D76F7D31-3947-4FBF-A358-057FB9A8B67A}"/>
    <hyperlink ref="F19" r:id="rId6" xr:uid="{15FEFB4B-5607-4856-A4AC-770C4FC586B8}"/>
    <hyperlink ref="F4" r:id="rId7" xr:uid="{D7D36462-E1F8-431D-A423-34C79CE0C1A3}"/>
    <hyperlink ref="F11" r:id="rId8" xr:uid="{B34CB339-9AFB-4B3F-877F-289E84504D9E}"/>
    <hyperlink ref="F9" r:id="rId9" display="https://www.amazon.ca/XLX-High-Power-Converter-Adjustable-Protection/dp/B081X5YX8V/ref=sr_1_9?crid=5Q9857PGIUP2&amp;dib=eyJ2IjoiMSJ9.bcst-xXQU27Vt8yy-pUyyTeiXO0FfLS2WuoSWdtlc62_Mf4DYJrzHZVolQyqMIxwbeNSzOSrNS_gypIBfo5iVyWGZVP2fjMORbgTTl_Y0plsxTa_kgJHLMuKuay3bpNTmuJpFxdQkQ7v33IDFmIhXgqBD-Tt7zmBNubrHJuFNQbJeqQLpfi2GVKyYNzVYOb6Y7l30Gu7odFZUfD1HMsc81LcbH9AmX53b_ZjMcLEnOHzFJlMmrEfpi_CGQ3J1uXAsHpbSofdtvz0CrWsYIc8hJjLXUNGIttn8UTalPNSl4w.39A3Z7VqLHN42UQDUXyswLbTG1sQDOQBkAQ78soJo80&amp;dib_tag=se&amp;keywords=buck+converter&amp;qid=1747598621&amp;s=electronics&amp;sprefix=buck+%2Celectronics%2C97&amp;sr=1-9" xr:uid="{4351ABE5-8531-4B7D-A437-3B254BBF138D}"/>
    <hyperlink ref="F26" r:id="rId10" xr:uid="{4919D501-0F36-4A79-8E33-AA114650EC3C}"/>
    <hyperlink ref="F27" r:id="rId11" xr:uid="{94A260A1-77D8-422B-AFB9-16F011CACAED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 Lu</dc:creator>
  <cp:lastModifiedBy>Coco Lu</cp:lastModifiedBy>
  <dcterms:created xsi:type="dcterms:W3CDTF">2015-06-05T18:17:20Z</dcterms:created>
  <dcterms:modified xsi:type="dcterms:W3CDTF">2025-11-28T03:37:23Z</dcterms:modified>
</cp:coreProperties>
</file>